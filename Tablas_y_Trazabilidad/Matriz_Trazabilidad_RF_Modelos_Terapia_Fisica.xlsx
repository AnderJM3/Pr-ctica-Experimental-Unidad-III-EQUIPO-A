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c29c30d45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RF por modelos" sheetId="1" r:id="R4739691762bd4b1d"/>
    <x:sheet xmlns:r="http://schemas.openxmlformats.org/officeDocument/2006/relationships" name="Resumen cobertura" sheetId="2" r:id="R8bc8c1cbac024cfd"/>
    <x:sheet xmlns:r="http://schemas.openxmlformats.org/officeDocument/2006/relationships" name="Gaps y gold plating" sheetId="3" r:id="R92a3c88323be42be"/>
    <x:sheet xmlns:r="http://schemas.openxmlformats.org/officeDocument/2006/relationships" name="Verificaciones cruzadas" sheetId="4" r:id="R5add31f5ed17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52ee4805144f0" /><Relationship Type="http://schemas.openxmlformats.org/officeDocument/2006/relationships/theme" Target="/xl/theme/theme1.xml" Id="Rb9b47ea2009b4b2e" /><Relationship Type="http://schemas.openxmlformats.org/officeDocument/2006/relationships/sharedStrings" Target="/xl/sharedStrings.xml" Id="R57d51743cad94275" /><Relationship Type="http://schemas.openxmlformats.org/officeDocument/2006/relationships/worksheet" Target="/xl/worksheets/sheet1.xml" Id="R4739691762bd4b1d" /><Relationship Type="http://schemas.openxmlformats.org/officeDocument/2006/relationships/worksheet" Target="/xl/worksheets/sheet2.xml" Id="R8bc8c1cbac024cfd" /><Relationship Type="http://schemas.openxmlformats.org/officeDocument/2006/relationships/worksheet" Target="/xl/worksheets/sheet3.xml" Id="R92a3c88323be42be" /><Relationship Type="http://schemas.openxmlformats.org/officeDocument/2006/relationships/worksheet" Target="/xl/worksheets/sheet4.xml" Id="R5add31f5ed1749ca" /></Relationships>
</file>

<file path=xl/tables/table1.xml><?xml version="1.0" encoding="utf-8"?>
<x:table xmlns:x="http://schemas.openxmlformats.org/spreadsheetml/2006/main" id="1" name="MatrizRFModelos" displayName="MatrizRFModelos" ref="A1:I33" headerRowCount="1">
  <x:tableColumns count="9">
    <x:tableColumn id="1" name="RF"/>
    <x:tableColumn id="2" name="Requisito resumido"/>
    <x:tableColumn id="3" name="Caso de uso asociado"/>
    <x:tableColumn id="4" name="Clase UML relacionada"/>
    <x:tableColumn id="5" name="Proceso DFD"/>
    <x:tableColumn id="6" name="Actividad UML"/>
    <x:tableColumn id="7" name="Estado UML"/>
    <x:tableColumn id="8" name="Observación"/>
    <x:tableColumn id="9" name="Cobertura"/>
  </x:tableColumns>
  <x:tableStyleInfo name="TableStyleMedium2" showRowStripes="1"/>
</x:table>
</file>

<file path=xl/tables/table2.xml><?xml version="1.0" encoding="utf-8"?>
<x:table xmlns:x="http://schemas.openxmlformats.org/spreadsheetml/2006/main" id="2" name="GapsGoldPlating" displayName="GapsGoldPlating" ref="A1:D9" headerRowCount="1">
  <x:tableColumns count="4">
    <x:tableColumn id="1" name="Elemento revisado"/>
    <x:tableColumn id="2" name="Tipo"/>
    <x:tableColumn id="3" name="Evaluación"/>
    <x:tableColumn id="4" name="Justificación"/>
  </x:tableColumns>
  <x:tableStyleInfo name="TableStyleMedium2" showRowStripes="1"/>
</x:table>
</file>

<file path=xl/tables/table3.xml><?xml version="1.0" encoding="utf-8"?>
<x:table xmlns:x="http://schemas.openxmlformats.org/spreadsheetml/2006/main" id="3" name="VerificacionesCruzadas" displayName="VerificacionesCruzadas" ref="A1:D9" headerRowCount="1">
  <x:tableColumns count="4">
    <x:tableColumn id="1" name="Verificación"/>
    <x:tableColumn id="2" name="Modelos comparados"/>
    <x:tableColumn id="3" name="Resultado"/>
    <x:tableColumn id="4" name="Observ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8ec56f294549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85b925e1c440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0c834799d5446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8" hidden="0" customWidth="1"/>
    <x:col min="4" max="4" width="30" hidden="0" customWidth="1"/>
    <x:col min="5" max="5" width="34" hidden="0" customWidth="1"/>
    <x:col min="6" max="6" width="32" hidden="0" customWidth="1"/>
    <x:col min="7" max="7" width="24" hidden="0" customWidth="1"/>
    <x:col min="8" max="8" width="38" hidden="0" customWidth="1"/>
    <x:col min="9" max="9" width="14" hidden="0" customWidth="1"/>
  </x:cols>
  <x:sheetData>
    <x:row r="1" ht="30" customHeight="1">
      <x:c r="A1" s="10" t="str">
        <x:v>RF</x:v>
      </x:c>
      <x:c r="B1" s="10" t="str">
        <x:v>Requisito resumido</x:v>
      </x:c>
      <x:c r="C1" s="10" t="str">
        <x:v>Caso de uso asociado</x:v>
      </x:c>
      <x:c r="D1" s="10" t="str">
        <x:v>Clase UML relacionada</x:v>
      </x:c>
      <x:c r="E1" s="10" t="str">
        <x:v>Proceso DFD</x:v>
      </x:c>
      <x:c r="F1" s="10" t="str">
        <x:v>Actividad UML</x:v>
      </x:c>
      <x:c r="G1" s="10" t="str">
        <x:v>Estado UML</x:v>
      </x:c>
      <x:c r="H1" s="10" t="str">
        <x:v>Observación</x:v>
      </x:c>
      <x:c r="I1" s="10" t="str">
        <x:v>Cobertura</x:v>
      </x:c>
    </x:row>
    <x:row r="2" ht="38" customHeight="1">
      <x:c r="A2" s="16" t="str">
        <x:v>RF-01</x:v>
      </x:c>
      <x:c r="B2" s="16" t="str">
        <x:v>Autenticar usuarios</x:v>
      </x:c>
      <x:c r="C2" s="16" t="str">
        <x:v>Iniciar sesión</x:v>
      </x:c>
      <x:c r="D2" s="16" t="str">
        <x:v>Usuario</x:v>
      </x:c>
      <x:c r="E2" s="16" t="str">
        <x:v>1.0 Gestionar usuarios y accesos</x:v>
      </x:c>
      <x:c r="F2" s="16" t="str">
        <x:v>Validar identidad del paciente</x:v>
      </x:c>
      <x:c r="G2" s="16" t="str">
        <x:v>Programada</x:v>
      </x:c>
      <x:c r="H2" s="16" t="str">
        <x:v>Cubierto en acceso al sistema.</x:v>
      </x:c>
      <x:c r="I2" s="16" t="str">
        <x:v>Cubierto</x:v>
      </x:c>
    </x:row>
    <x:row r="3" ht="38" customHeight="1">
      <x:c r="A3" s="16" t="str">
        <x:v>RF-02</x:v>
      </x:c>
      <x:c r="B3" s="16" t="str">
        <x:v>Gestionar roles y permisos</x:v>
      </x:c>
      <x:c r="C3" s="16" t="str">
        <x:v>Administrar usuarios</x:v>
      </x:c>
      <x:c r="D3" s="16" t="str">
        <x:v>Usuario, Rol, UsuarioRol</x:v>
      </x:c>
      <x:c r="E3" s="16" t="str">
        <x:v>1.0 Gestionar usuarios y accesos</x:v>
      </x:c>
      <x:c r="F3" s="16" t="str">
        <x:v>Validar permisos</x:v>
      </x:c>
      <x:c r="G3" s="16" t="str">
        <x:v>Programada</x:v>
      </x:c>
      <x:c r="H3" s="16" t="str">
        <x:v>Cubierto mediante seguridad y acceso.</x:v>
      </x:c>
      <x:c r="I3" s="16" t="str">
        <x:v>Cubierto</x:v>
      </x:c>
    </x:row>
    <x:row r="4" ht="38" customHeight="1">
      <x:c r="A4" s="16" t="str">
        <x:v>RF-03</x:v>
      </x:c>
      <x:c r="B4" s="16" t="str">
        <x:v>Registrar datos generales del paciente</x:v>
      </x:c>
      <x:c r="C4" s="16" t="str">
        <x:v>Registrar paciente</x:v>
      </x:c>
      <x:c r="D4" s="16" t="str">
        <x:v>Paciente</x:v>
      </x:c>
      <x:c r="E4" s="16" t="str">
        <x:v>2.0 Gestionar pacientes y evaluación clínica</x:v>
      </x:c>
      <x:c r="F4" s="16" t="str">
        <x:v>Registrar datos del paciente</x:v>
      </x:c>
      <x:c r="G4" s="16" t="str">
        <x:v>Programada</x:v>
      </x:c>
      <x:c r="H4" s="16" t="str">
        <x:v>Cubierto en modelo de datos y DFD.</x:v>
      </x:c>
      <x:c r="I4" s="16" t="str">
        <x:v>Cubierto</x:v>
      </x:c>
    </x:row>
    <x:row r="5" ht="38" customHeight="1">
      <x:c r="A5" s="16" t="str">
        <x:v>RF-04</x:v>
      </x:c>
      <x:c r="B5" s="16" t="str">
        <x:v>Registrar motivo de consulta</x:v>
      </x:c>
      <x:c r="C5" s="16" t="str">
        <x:v>Registrar evaluación inicial</x:v>
      </x:c>
      <x:c r="D5" s="16" t="str">
        <x:v>EvaluacionInicial</x:v>
      </x:c>
      <x:c r="E5" s="16" t="str">
        <x:v>2.0 Gestionar pacientes y evaluación clínica</x:v>
      </x:c>
      <x:c r="F5" s="16" t="str">
        <x:v>Registrar evaluación clínica</x:v>
      </x:c>
      <x:c r="G5" s="16" t="str">
        <x:v>Programada</x:v>
      </x:c>
      <x:c r="H5" s="16" t="str">
        <x:v>Cubierto en evaluación inicial.</x:v>
      </x:c>
      <x:c r="I5" s="16" t="str">
        <x:v>Cubierto</x:v>
      </x:c>
    </x:row>
    <x:row r="6" ht="38" customHeight="1">
      <x:c r="A6" s="16" t="str">
        <x:v>RF-05</x:v>
      </x:c>
      <x:c r="B6" s="16" t="str">
        <x:v>Registrar antecedentes terapéuticos</x:v>
      </x:c>
      <x:c r="C6" s="16" t="str">
        <x:v>Registrar evaluación inicial</x:v>
      </x:c>
      <x:c r="D6" s="16" t="str">
        <x:v>EvaluacionInicial</x:v>
      </x:c>
      <x:c r="E6" s="16" t="str">
        <x:v>2.0 Gestionar pacientes y evaluación clínica</x:v>
      </x:c>
      <x:c r="F6" s="16" t="str">
        <x:v>Registrar antecedentes</x:v>
      </x:c>
      <x:c r="G6" s="16" t="str">
        <x:v>Programada</x:v>
      </x:c>
      <x:c r="H6" s="16" t="str">
        <x:v>Cubierto en datos clínicos.</x:v>
      </x:c>
      <x:c r="I6" s="16" t="str">
        <x:v>Cubierto</x:v>
      </x:c>
    </x:row>
    <x:row r="7" ht="38" customHeight="1">
      <x:c r="A7" s="16" t="str">
        <x:v>RF-06</x:v>
      </x:c>
      <x:c r="B7" s="16" t="str">
        <x:v>Clasificar condición clínica</x:v>
      </x:c>
      <x:c r="C7" s="16" t="str">
        <x:v>Evaluar paciente</x:v>
      </x:c>
      <x:c r="D7" s="16" t="str">
        <x:v>EvaluacionInicial</x:v>
      </x:c>
      <x:c r="E7" s="16" t="str">
        <x:v>2.0 Gestionar pacientes y evaluación clínica</x:v>
      </x:c>
      <x:c r="F7" s="16" t="str">
        <x:v>Registrar condición clínica</x:v>
      </x:c>
      <x:c r="G7" s="16" t="str">
        <x:v>Programada</x:v>
      </x:c>
      <x:c r="H7" s="16" t="str">
        <x:v>Cubierto en evaluación inicial.</x:v>
      </x:c>
      <x:c r="I7" s="16" t="str">
        <x:v>Cubierto</x:v>
      </x:c>
    </x:row>
    <x:row r="8" ht="38" customHeight="1">
      <x:c r="A8" s="16" t="str">
        <x:v>RF-07</x:v>
      </x:c>
      <x:c r="B8" s="16" t="str">
        <x:v>Registrar nivel de gravedad</x:v>
      </x:c>
      <x:c r="C8" s="16" t="str">
        <x:v>Evaluar paciente</x:v>
      </x:c>
      <x:c r="D8" s="16" t="str">
        <x:v>EvaluacionInicial</x:v>
      </x:c>
      <x:c r="E8" s="16" t="str">
        <x:v>2.0 Gestionar pacientes y evaluación clínica</x:v>
      </x:c>
      <x:c r="F8" s="16" t="str">
        <x:v>Registrar nivel de gravedad</x:v>
      </x:c>
      <x:c r="G8" s="16" t="str">
        <x:v>Programada</x:v>
      </x:c>
      <x:c r="H8" s="16" t="str">
        <x:v>Cubierto en evaluación clínica.</x:v>
      </x:c>
      <x:c r="I8" s="16" t="str">
        <x:v>Cubierto</x:v>
      </x:c>
    </x:row>
    <x:row r="9" ht="38" customHeight="1">
      <x:c r="A9" s="16" t="str">
        <x:v>RF-08</x:v>
      </x:c>
      <x:c r="B9" s="16" t="str">
        <x:v>Registrar signos vitales</x:v>
      </x:c>
      <x:c r="C9" s="16" t="str">
        <x:v>Registrar signos vitales</x:v>
      </x:c>
      <x:c r="D9" s="16" t="str">
        <x:v>SignoVital</x:v>
      </x:c>
      <x:c r="E9" s="16" t="str">
        <x:v>2.0 Gestionar pacientes y evaluación clínica</x:v>
      </x:c>
      <x:c r="F9" s="16" t="str">
        <x:v>Registrar signos vitales</x:v>
      </x:c>
      <x:c r="G9" s="16" t="str">
        <x:v>Programada</x:v>
      </x:c>
      <x:c r="H9" s="16" t="str">
        <x:v>Cubierto en modelo clínico.</x:v>
      </x:c>
      <x:c r="I9" s="16" t="str">
        <x:v>Cubierto</x:v>
      </x:c>
    </x:row>
    <x:row r="10" ht="38" customHeight="1">
      <x:c r="A10" s="16" t="str">
        <x:v>RF-09</x:v>
      </x:c>
      <x:c r="B10" s="16" t="str">
        <x:v>Registrar rangos de movimiento</x:v>
      </x:c>
      <x:c r="C10" s="16" t="str">
        <x:v>Registrar indicadores clínicos</x:v>
      </x:c>
      <x:c r="D10" s="16" t="str">
        <x:v>IndicadorClinico</x:v>
      </x:c>
      <x:c r="E10" s="16" t="str">
        <x:v>2.0 Gestionar pacientes y evaluación clínica</x:v>
      </x:c>
      <x:c r="F10" s="16" t="str">
        <x:v>Registrar indicadores</x:v>
      </x:c>
      <x:c r="G10" s="16" t="str">
        <x:v>Programada</x:v>
      </x:c>
      <x:c r="H10" s="16" t="str">
        <x:v>Cubierto como indicador clínico.</x:v>
      </x:c>
      <x:c r="I10" s="16" t="str">
        <x:v>Cubierto</x:v>
      </x:c>
    </x:row>
    <x:row r="11" ht="38" customHeight="1">
      <x:c r="A11" s="16" t="str">
        <x:v>RF-10</x:v>
      </x:c>
      <x:c r="B11" s="16" t="str">
        <x:v>Registrar pruebas terapéuticas</x:v>
      </x:c>
      <x:c r="C11" s="16" t="str">
        <x:v>Registrar prueba terapéutica</x:v>
      </x:c>
      <x:c r="D11" s="16" t="str">
        <x:v>PruebaTerapeutica</x:v>
      </x:c>
      <x:c r="E11" s="16" t="str">
        <x:v>2.0 Gestionar pacientes y evaluación clínica</x:v>
      </x:c>
      <x:c r="F11" s="16" t="str">
        <x:v>Registrar prueba</x:v>
      </x:c>
      <x:c r="G11" s="16" t="str">
        <x:v>Programada</x:v>
      </x:c>
      <x:c r="H11" s="16" t="str">
        <x:v>Cubierto en evaluación y seguimiento.</x:v>
      </x:c>
      <x:c r="I11" s="16" t="str">
        <x:v>Cubierto</x:v>
      </x:c>
    </x:row>
    <x:row r="12" ht="38" customHeight="1">
      <x:c r="A12" s="16" t="str">
        <x:v>RF-11</x:v>
      </x:c>
      <x:c r="B12" s="16" t="str">
        <x:v>Registrar nivel de dolor</x:v>
      </x:c>
      <x:c r="C12" s="16" t="str">
        <x:v>Registrar indicador clínico</x:v>
      </x:c>
      <x:c r="D12" s="16" t="str">
        <x:v>IndicadorClinico</x:v>
      </x:c>
      <x:c r="E12" s="16" t="str">
        <x:v>2.0 Gestionar pacientes y evaluación clínica</x:v>
      </x:c>
      <x:c r="F12" s="16" t="str">
        <x:v>Registrar dolor</x:v>
      </x:c>
      <x:c r="G12" s="16" t="str">
        <x:v>En ejecución</x:v>
      </x:c>
      <x:c r="H12" s="16" t="str">
        <x:v>Cubierto en seguimiento clínico.</x:v>
      </x:c>
      <x:c r="I12" s="16" t="str">
        <x:v>Cubierto</x:v>
      </x:c>
    </x:row>
    <x:row r="13" ht="38" customHeight="1">
      <x:c r="A13" s="16" t="str">
        <x:v>RF-12</x:v>
      </x:c>
      <x:c r="B13" s="16" t="str">
        <x:v>Registrar fatiga</x:v>
      </x:c>
      <x:c r="C13" s="16" t="str">
        <x:v>Registrar indicador clínico</x:v>
      </x:c>
      <x:c r="D13" s="16" t="str">
        <x:v>IndicadorClinico</x:v>
      </x:c>
      <x:c r="E13" s="16" t="str">
        <x:v>2.0 Gestionar pacientes y evaluación clínica</x:v>
      </x:c>
      <x:c r="F13" s="16" t="str">
        <x:v>Registrar fatiga</x:v>
      </x:c>
      <x:c r="G13" s="16" t="str">
        <x:v>En ejecución</x:v>
      </x:c>
      <x:c r="H13" s="16" t="str">
        <x:v>Cubierto en seguimiento clínico.</x:v>
      </x:c>
      <x:c r="I13" s="16" t="str">
        <x:v>Cubierto</x:v>
      </x:c>
    </x:row>
    <x:row r="14" ht="38" customHeight="1">
      <x:c r="A14" s="16" t="str">
        <x:v>RF-13</x:v>
      </x:c>
      <x:c r="B14" s="16" t="str">
        <x:v>Registrar capacidad funcional</x:v>
      </x:c>
      <x:c r="C14" s="16" t="str">
        <x:v>Registrar indicador clínico</x:v>
      </x:c>
      <x:c r="D14" s="16" t="str">
        <x:v>IndicadorClinico</x:v>
      </x:c>
      <x:c r="E14" s="16" t="str">
        <x:v>2.0 Gestionar pacientes y evaluación clínica</x:v>
      </x:c>
      <x:c r="F14" s="16" t="str">
        <x:v>Registrar capacidad funcional</x:v>
      </x:c>
      <x:c r="G14" s="16" t="str">
        <x:v>Programada</x:v>
      </x:c>
      <x:c r="H14" s="16" t="str">
        <x:v>Cubierto en indicadores clínicos.</x:v>
      </x:c>
      <x:c r="I14" s="16" t="str">
        <x:v>Cubierto</x:v>
      </x:c>
    </x:row>
    <x:row r="15" ht="38" customHeight="1">
      <x:c r="A15" s="16" t="str">
        <x:v>RF-14</x:v>
      </x:c>
      <x:c r="B15" s="16" t="str">
        <x:v>Registrar observaciones de sesión</x:v>
      </x:c>
      <x:c r="C15" s="16" t="str">
        <x:v>Registrar observación</x:v>
      </x:c>
      <x:c r="D15" s="16" t="str">
        <x:v>SesionRemota</x:v>
      </x:c>
      <x:c r="E15" s="16" t="str">
        <x:v>4.0 Ejecutar sesión remota y analizar movimiento</x:v>
      </x:c>
      <x:c r="F15" s="16" t="str">
        <x:v>Registrar observación</x:v>
      </x:c>
      <x:c r="G15" s="16" t="str">
        <x:v>Finalizada</x:v>
      </x:c>
      <x:c r="H15" s="16" t="str">
        <x:v>Cubierto en sesión remota.</x:v>
      </x:c>
      <x:c r="I15" s="16" t="str">
        <x:v>Cubierto</x:v>
      </x:c>
    </x:row>
    <x:row r="16" ht="38" customHeight="1">
      <x:c r="A16" s="16" t="str">
        <x:v>RF-15</x:v>
      </x:c>
      <x:c r="B16" s="16" t="str">
        <x:v>Crear plan terapéutico personalizado</x:v>
      </x:c>
      <x:c r="C16" s="16" t="str">
        <x:v>Gestionar plan terapéutico</x:v>
      </x:c>
      <x:c r="D16" s="16" t="str">
        <x:v>PlanTerapeutico</x:v>
      </x:c>
      <x:c r="E16" s="16" t="str">
        <x:v>3.0 Gestionar plan terapéutico y rutinas</x:v>
      </x:c>
      <x:c r="F16" s="16" t="str">
        <x:v>Crear plan terapéutico</x:v>
      </x:c>
      <x:c r="G16" s="16" t="str">
        <x:v>Programada</x:v>
      </x:c>
      <x:c r="H16" s="16" t="str">
        <x:v>Cubierto en planificación terapéutica.</x:v>
      </x:c>
      <x:c r="I16" s="16" t="str">
        <x:v>Cubierto</x:v>
      </x:c>
    </x:row>
    <x:row r="17" ht="38" customHeight="1">
      <x:c r="A17" s="16" t="str">
        <x:v>RF-16</x:v>
      </x:c>
      <x:c r="B17" s="16" t="str">
        <x:v>Gestionar catálogo de ejercicios</x:v>
      </x:c>
      <x:c r="C17" s="16" t="str">
        <x:v>Gestionar ejercicios</x:v>
      </x:c>
      <x:c r="D17" s="16" t="str">
        <x:v>Ejercicio</x:v>
      </x:c>
      <x:c r="E17" s="16" t="str">
        <x:v>3.0 Gestionar plan terapéutico y rutinas</x:v>
      </x:c>
      <x:c r="F17" s="16" t="str">
        <x:v>Seleccionar ejercicio</x:v>
      </x:c>
      <x:c r="G17" s="16" t="str">
        <x:v>Programada</x:v>
      </x:c>
      <x:c r="H17" s="16" t="str">
        <x:v>Cubierto en catálogo de ejercicios.</x:v>
      </x:c>
      <x:c r="I17" s="16" t="str">
        <x:v>Cubierto</x:v>
      </x:c>
    </x:row>
    <x:row r="18" ht="38" customHeight="1">
      <x:c r="A18" s="16" t="str">
        <x:v>RF-17</x:v>
      </x:c>
      <x:c r="B18" s="16" t="str">
        <x:v>Asignar rutina terapéutica</x:v>
      </x:c>
      <x:c r="C18" s="16" t="str">
        <x:v>Asignar rutina</x:v>
      </x:c>
      <x:c r="D18" s="16" t="str">
        <x:v>RutinaTerapeutica, DetalleRutina</x:v>
      </x:c>
      <x:c r="E18" s="16" t="str">
        <x:v>3.0 Gestionar plan terapéutico y rutinas</x:v>
      </x:c>
      <x:c r="F18" s="16" t="str">
        <x:v>Validar rutina asignada</x:v>
      </x:c>
      <x:c r="G18" s="16" t="str">
        <x:v>Programada</x:v>
      </x:c>
      <x:c r="H18" s="16" t="str">
        <x:v>Cubierto en rutina y detalle de rutina.</x:v>
      </x:c>
      <x:c r="I18" s="16" t="str">
        <x:v>Cubierto</x:v>
      </x:c>
    </x:row>
    <x:row r="19" ht="38" customHeight="1">
      <x:c r="A19" s="16" t="str">
        <x:v>RF-18</x:v>
      </x:c>
      <x:c r="B19" s="16" t="str">
        <x:v>Mostrar guías visuales de ejercicios</x:v>
      </x:c>
      <x:c r="C19" s="16" t="str">
        <x:v>Consultar guía de ejercicio</x:v>
      </x:c>
      <x:c r="D19" s="16" t="str">
        <x:v>Ejercicio</x:v>
      </x:c>
      <x:c r="E19" s="16" t="str">
        <x:v>3.0 Gestionar plan terapéutico y rutinas</x:v>
      </x:c>
      <x:c r="F19" s="16" t="str">
        <x:v>Mostrar guía de ejercicio</x:v>
      </x:c>
      <x:c r="G19" s="16" t="str">
        <x:v>En ejecución</x:v>
      </x:c>
      <x:c r="H19" s="16" t="str">
        <x:v>Cubierto en ejecución de rutina.</x:v>
      </x:c>
      <x:c r="I19" s="16" t="str">
        <x:v>Cubierto</x:v>
      </x:c>
    </x:row>
    <x:row r="20" ht="38" customHeight="1">
      <x:c r="A20" s="16" t="str">
        <x:v>RF-19</x:v>
      </x:c>
      <x:c r="B20" s="16" t="str">
        <x:v>Iniciar sesión remota</x:v>
      </x:c>
      <x:c r="C20" s="16" t="str">
        <x:v>Ejecutar sesión remota</x:v>
      </x:c>
      <x:c r="D20" s="16" t="str">
        <x:v>SesionRemota</x:v>
      </x:c>
      <x:c r="E20" s="16" t="str">
        <x:v>4.0 Ejecutar sesión remota y analizar movimiento</x:v>
      </x:c>
      <x:c r="F20" s="16" t="str">
        <x:v>Iniciar sesión remota</x:v>
      </x:c>
      <x:c r="G20" s="16" t="str">
        <x:v>Programada</x:v>
      </x:c>
      <x:c r="H20" s="16" t="str">
        <x:v>Cubierto como inicio del proceso principal.</x:v>
      </x:c>
      <x:c r="I20" s="16" t="str">
        <x:v>Cubierto</x:v>
      </x:c>
    </x:row>
    <x:row r="21" ht="38" customHeight="1">
      <x:c r="A21" s="16" t="str">
        <x:v>RF-20</x:v>
      </x:c>
      <x:c r="B21" s="16" t="str">
        <x:v>Capturar movimiento mediante cámara</x:v>
      </x:c>
      <x:c r="C21" s="16" t="str">
        <x:v>Capturar movimiento</x:v>
      </x:c>
      <x:c r="D21" s="16" t="str">
        <x:v>MovimientoCapturado</x:v>
      </x:c>
      <x:c r="E21" s="16" t="str">
        <x:v>4.0 Ejecutar sesión remota y analizar movimiento</x:v>
      </x:c>
      <x:c r="F21" s="16" t="str">
        <x:v>Verificar cámara y capturar movimiento</x:v>
      </x:c>
      <x:c r="G21" s="16" t="str">
        <x:v>Cámara verificada / En ejecución</x:v>
      </x:c>
      <x:c r="H21" s="16" t="str">
        <x:v>Cubierto en DFD esencial y actividad UML.</x:v>
      </x:c>
      <x:c r="I21" s="16" t="str">
        <x:v>Cubierto</x:v>
      </x:c>
    </x:row>
    <x:row r="22" ht="38" customHeight="1">
      <x:c r="A22" s="16" t="str">
        <x:v>RF-21</x:v>
      </x:c>
      <x:c r="B22" s="16" t="str">
        <x:v>Analizar movimiento mediante IA</x:v>
      </x:c>
      <x:c r="C22" s="16" t="str">
        <x:v>Analizar movimiento</x:v>
      </x:c>
      <x:c r="D22" s="16" t="str">
        <x:v>AnalisisIA</x:v>
      </x:c>
      <x:c r="E22" s="16" t="str">
        <x:v>4.0 Ejecutar sesión remota y analizar movimiento</x:v>
      </x:c>
      <x:c r="F22" s="16" t="str">
        <x:v>Enviar datos al Módulo IA</x:v>
      </x:c>
      <x:c r="G22" s="16" t="str">
        <x:v>En análisis</x:v>
      </x:c>
      <x:c r="H22" s="16" t="str">
        <x:v>Cubierto por el módulo IA.</x:v>
      </x:c>
      <x:c r="I22" s="16" t="str">
        <x:v>Cubierto</x:v>
      </x:c>
    </x:row>
    <x:row r="23" ht="38" customHeight="1">
      <x:c r="A23" s="16" t="str">
        <x:v>RF-22</x:v>
      </x:c>
      <x:c r="B23" s="16" t="str">
        <x:v>Detectar errores posturales</x:v>
      </x:c>
      <x:c r="C23" s="16" t="str">
        <x:v>Detectar error postural</x:v>
      </x:c>
      <x:c r="D23" s="16" t="str">
        <x:v>ErrorPostural</x:v>
      </x:c>
      <x:c r="E23" s="16" t="str">
        <x:v>4.0 Ejecutar sesión remota y analizar movimiento</x:v>
      </x:c>
      <x:c r="F23" s="16" t="str">
        <x:v>Evaluar postura</x:v>
      </x:c>
      <x:c r="G23" s="16" t="str">
        <x:v>En análisis</x:v>
      </x:c>
      <x:c r="H23" s="16" t="str">
        <x:v>Cubierto por análisis IA.</x:v>
      </x:c>
      <x:c r="I23" s="16" t="str">
        <x:v>Cubierto</x:v>
      </x:c>
    </x:row>
    <x:row r="24" ht="38" customHeight="1">
      <x:c r="A24" s="16" t="str">
        <x:v>RF-23</x:v>
      </x:c>
      <x:c r="B24" s="16" t="str">
        <x:v>Contar repeticiones correctas</x:v>
      </x:c>
      <x:c r="C24" s="16" t="str">
        <x:v>Validar repetición</x:v>
      </x:c>
      <x:c r="D24" s="16" t="str">
        <x:v>Repeticion</x:v>
      </x:c>
      <x:c r="E24" s="16" t="str">
        <x:v>4.0 Ejecutar sesión remota y analizar movimiento</x:v>
      </x:c>
      <x:c r="F24" s="16" t="str">
        <x:v>Evaluar repeticiones</x:v>
      </x:c>
      <x:c r="G24" s="16" t="str">
        <x:v>En ejecución / En análisis</x:v>
      </x:c>
      <x:c r="H24" s="16" t="str">
        <x:v>Cubierto en loop del proceso.</x:v>
      </x:c>
      <x:c r="I24" s="16" t="str">
        <x:v>Cubierto</x:v>
      </x:c>
    </x:row>
    <x:row r="25" ht="38" customHeight="1">
      <x:c r="A25" s="16" t="str">
        <x:v>RF-24</x:v>
      </x:c>
      <x:c r="B25" s="16" t="str">
        <x:v>Rechazar repeticiones incorrectas</x:v>
      </x:c>
      <x:c r="C25" s="16" t="str">
        <x:v>Validar repetición</x:v>
      </x:c>
      <x:c r="D25" s="16" t="str">
        <x:v>Repeticion</x:v>
      </x:c>
      <x:c r="E25" s="16" t="str">
        <x:v>4.0 Ejecutar sesión remota y analizar movimiento</x:v>
      </x:c>
      <x:c r="F25" s="16" t="str">
        <x:v>Registrar repetición incorrecta</x:v>
      </x:c>
      <x:c r="G25" s="16" t="str">
        <x:v>En análisis</x:v>
      </x:c>
      <x:c r="H25" s="16" t="str">
        <x:v>Cubierto mediante error o rechazo.</x:v>
      </x:c>
      <x:c r="I25" s="16" t="str">
        <x:v>Cubierto</x:v>
      </x:c>
    </x:row>
    <x:row r="26" ht="38" customHeight="1">
      <x:c r="A26" s="16" t="str">
        <x:v>RF-25</x:v>
      </x:c>
      <x:c r="B26" s="16" t="str">
        <x:v>Generar retroalimentación automática</x:v>
      </x:c>
      <x:c r="C26" s="16" t="str">
        <x:v>Mostrar retroalimentación</x:v>
      </x:c>
      <x:c r="D26" s="16" t="str">
        <x:v>AnalisisIA, SesionRemota</x:v>
      </x:c>
      <x:c r="E26" s="16" t="str">
        <x:v>4.0 Ejecutar sesión remota y analizar movimiento</x:v>
      </x:c>
      <x:c r="F26" s="16" t="str">
        <x:v>Generar retroalimentación</x:v>
      </x:c>
      <x:c r="G26" s="16" t="str">
        <x:v>En ejecución</x:v>
      </x:c>
      <x:c r="H26" s="16" t="str">
        <x:v>Cubierto en actividad y secuencia.</x:v>
      </x:c>
      <x:c r="I26" s="16" t="str">
        <x:v>Cubierto</x:v>
      </x:c>
    </x:row>
    <x:row r="27" ht="38" customHeight="1">
      <x:c r="A27" s="16" t="str">
        <x:v>RF-26</x:v>
      </x:c>
      <x:c r="B27" s="16" t="str">
        <x:v>Registrar evidencia de cumplimiento</x:v>
      </x:c>
      <x:c r="C27" s="16" t="str">
        <x:v>Registrar evidencia</x:v>
      </x:c>
      <x:c r="D27" s="16" t="str">
        <x:v>EvidenciaCumplimiento</x:v>
      </x:c>
      <x:c r="E27" s="16" t="str">
        <x:v>5.0 Generar seguimiento, alertas y reportes</x:v>
      </x:c>
      <x:c r="F27" s="16" t="str">
        <x:v>Registrar evidencia</x:v>
      </x:c>
      <x:c r="G27" s="16" t="str">
        <x:v>Con evidencia registrada</x:v>
      </x:c>
      <x:c r="H27" s="16" t="str">
        <x:v>Cubierto en resultados del proceso.</x:v>
      </x:c>
      <x:c r="I27" s="16" t="str">
        <x:v>Cubierto</x:v>
      </x:c>
    </x:row>
    <x:row r="28" ht="38" customHeight="1">
      <x:c r="A28" s="16" t="str">
        <x:v>RF-27</x:v>
      </x:c>
      <x:c r="B28" s="16" t="str">
        <x:v>Registrar progreso terapéutico</x:v>
      </x:c>
      <x:c r="C28" s="16" t="str">
        <x:v>Actualizar progreso</x:v>
      </x:c>
      <x:c r="D28" s="16" t="str">
        <x:v>ProgresoTerapeutico</x:v>
      </x:c>
      <x:c r="E28" s="16" t="str">
        <x:v>5.0 Generar seguimiento, alertas y reportes</x:v>
      </x:c>
      <x:c r="F28" s="16" t="str">
        <x:v>Actualizar progreso</x:v>
      </x:c>
      <x:c r="G28" s="16" t="str">
        <x:v>Con evidencia registrada</x:v>
      </x:c>
      <x:c r="H28" s="16" t="str">
        <x:v>Cubierto en seguimiento.</x:v>
      </x:c>
      <x:c r="I28" s="16" t="str">
        <x:v>Cubierto</x:v>
      </x:c>
    </x:row>
    <x:row r="29" ht="38" customHeight="1">
      <x:c r="A29" s="16" t="str">
        <x:v>RF-28</x:v>
      </x:c>
      <x:c r="B29" s="16" t="str">
        <x:v>Generar alertas terapéuticas</x:v>
      </x:c>
      <x:c r="C29" s="16" t="str">
        <x:v>Generar alerta</x:v>
      </x:c>
      <x:c r="D29" s="16" t="str">
        <x:v>AlertaTerapeutica</x:v>
      </x:c>
      <x:c r="E29" s="16" t="str">
        <x:v>5.0 Generar seguimiento, alertas y reportes</x:v>
      </x:c>
      <x:c r="F29" s="16" t="str">
        <x:v>Evaluar si requiere alerta</x:v>
      </x:c>
      <x:c r="G29" s="16" t="str">
        <x:v>Revisada</x:v>
      </x:c>
      <x:c r="H29" s="16" t="str">
        <x:v>Cubierto en alertas y revisión.</x:v>
      </x:c>
      <x:c r="I29" s="16" t="str">
        <x:v>Cubierto</x:v>
      </x:c>
    </x:row>
    <x:row r="30" ht="38" customHeight="1">
      <x:c r="A30" s="16" t="str">
        <x:v>RF-29</x:v>
      </x:c>
      <x:c r="B30" s="16" t="str">
        <x:v>Generar recomendaciones</x:v>
      </x:c>
      <x:c r="C30" s="16" t="str">
        <x:v>Generar recomendación</x:v>
      </x:c>
      <x:c r="D30" s="16" t="str">
        <x:v>RecomendacionSeguimiento</x:v>
      </x:c>
      <x:c r="E30" s="16" t="str">
        <x:v>5.0 Generar seguimiento, alertas y reportes</x:v>
      </x:c>
      <x:c r="F30" s="16" t="str">
        <x:v>Generar recomendación</x:v>
      </x:c>
      <x:c r="G30" s="16" t="str">
        <x:v>Revisada</x:v>
      </x:c>
      <x:c r="H30" s="16" t="str">
        <x:v>Cubierto en seguimiento profesional.</x:v>
      </x:c>
      <x:c r="I30" s="16" t="str">
        <x:v>Cubierto</x:v>
      </x:c>
    </x:row>
    <x:row r="31" ht="38" customHeight="1">
      <x:c r="A31" s="16" t="str">
        <x:v>RF-30</x:v>
      </x:c>
      <x:c r="B31" s="16" t="str">
        <x:v>Generar reportes de tratamiento</x:v>
      </x:c>
      <x:c r="C31" s="16" t="str">
        <x:v>Generar reporte</x:v>
      </x:c>
      <x:c r="D31" s="16" t="str">
        <x:v>ReporteTratamiento</x:v>
      </x:c>
      <x:c r="E31" s="16" t="str">
        <x:v>5.0 Generar seguimiento, alertas y reportes</x:v>
      </x:c>
      <x:c r="F31" s="16" t="str">
        <x:v>Generar reporte</x:v>
      </x:c>
      <x:c r="G31" s="16" t="str">
        <x:v>Revisada</x:v>
      </x:c>
      <x:c r="H31" s="16" t="str">
        <x:v>Cubierto en reportes.</x:v>
      </x:c>
      <x:c r="I31" s="16" t="str">
        <x:v>Cubierto</x:v>
      </x:c>
    </x:row>
    <x:row r="32" ht="38" customHeight="1">
      <x:c r="A32" s="16" t="str">
        <x:v>RF-31</x:v>
      </x:c>
      <x:c r="B32" s="16" t="str">
        <x:v>Enviar recordatorios</x:v>
      </x:c>
      <x:c r="C32" s="16" t="str">
        <x:v>Enviar notificación</x:v>
      </x:c>
      <x:c r="D32" s="16" t="str">
        <x:v>Notificacion</x:v>
      </x:c>
      <x:c r="E32" s="16" t="str">
        <x:v>5.0 Generar seguimiento, alertas y reportes</x:v>
      </x:c>
      <x:c r="F32" s="16" t="str">
        <x:v>Enviar recordatorio</x:v>
      </x:c>
      <x:c r="G32" s="16" t="str">
        <x:v>Programada / Revisada</x:v>
      </x:c>
      <x:c r="H32" s="16" t="str">
        <x:v>Cubierto mediante notificaciones.</x:v>
      </x:c>
      <x:c r="I32" s="16" t="str">
        <x:v>Cubierto</x:v>
      </x:c>
    </x:row>
    <x:row r="33" ht="38" customHeight="1">
      <x:c r="A33" s="16" t="str">
        <x:v>RF-32</x:v>
      </x:c>
      <x:c r="B33" s="16" t="str">
        <x:v>Consultar avance autorizado</x:v>
      </x:c>
      <x:c r="C33" s="16" t="str">
        <x:v>Consultar avance</x:v>
      </x:c>
      <x:c r="D33" s="16" t="str">
        <x:v>AccesoFamiliar, ProgresoTerapeutico</x:v>
      </x:c>
      <x:c r="E33" s="16" t="str">
        <x:v>5.0 Generar seguimiento, alertas y reportes</x:v>
      </x:c>
      <x:c r="F33" s="16" t="str">
        <x:v>Consultar información autorizada</x:v>
      </x:c>
      <x:c r="G33" s="16" t="str">
        <x:v>Revisada</x:v>
      </x:c>
      <x:c r="H33" s="16" t="str">
        <x:v>Cubierto con acceso familiar autorizado.</x:v>
      </x:c>
      <x:c r="I33" s="16" t="str">
        <x:v>Cubierto</x:v>
      </x:c>
    </x:row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  <x:row r="61" ht="38" customHeight="1"/>
    <x:row r="62" ht="38" customHeight="1"/>
    <x:row r="63" ht="38" customHeight="1"/>
    <x:row r="64" ht="38" customHeight="1"/>
    <x:row r="65" ht="38" customHeight="1"/>
    <x:row r="66" ht="38" customHeight="1"/>
    <x:row r="67" ht="38" customHeight="1"/>
    <x:row r="68" ht="38" customHeight="1"/>
    <x:row r="69" ht="38" customHeight="1"/>
    <x:row r="70" ht="38" customHeight="1"/>
    <x:row r="71" ht="38" customHeight="1"/>
    <x:row r="72" ht="38" customHeight="1"/>
    <x:row r="73" ht="38" customHeight="1"/>
    <x:row r="74" ht="38" customHeight="1"/>
    <x:row r="75" ht="38" customHeight="1"/>
    <x:row r="76" ht="38" customHeight="1"/>
    <x:row r="77" ht="38" customHeight="1"/>
    <x:row r="78" ht="38" customHeight="1"/>
    <x:row r="79" ht="38" customHeight="1"/>
    <x:row r="80" ht="38" customHeight="1"/>
    <x:row r="81" ht="38" customHeight="1"/>
    <x:row r="82" ht="38" customHeight="1"/>
    <x:row r="83" ht="38" customHeight="1"/>
    <x:row r="84" ht="38" customHeight="1"/>
    <x:row r="85" ht="38" customHeight="1"/>
    <x:row r="86" ht="38" customHeight="1"/>
    <x:row r="87" ht="38" customHeight="1"/>
    <x:row r="88" ht="38" customHeight="1"/>
    <x:row r="89" ht="38" customHeight="1"/>
    <x:row r="90" ht="38" customHeight="1"/>
    <x:row r="91" ht="38" customHeight="1"/>
    <x:row r="92" ht="38" customHeight="1"/>
    <x:row r="93" ht="38" customHeight="1"/>
    <x:row r="94" ht="38" customHeight="1"/>
    <x:row r="95" ht="38" customHeight="1"/>
    <x:row r="96" ht="38" customHeight="1"/>
    <x:row r="97" ht="38" customHeight="1"/>
    <x:row r="98" ht="38" customHeight="1"/>
    <x:row r="99" ht="38" customHeight="1"/>
    <x:row r="100" ht="38" customHeight="1"/>
  </x:sheetData>
  <x:conditionalFormatting sqref="I2:I33">
    <x:cfRule type="expression" dxfId="0" priority="1">
      <x:formula>I2="Cubierto"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8ec56f294549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30" t="str">
        <x:v>Matriz de trazabilidad - Sistema Inteligente de Control y Seguimiento de Terapia Física</x:v>
      </x:c>
      <x:c r="B1" s="30" t="str"/>
    </x:row>
    <x:row r="2">
      <x:c r="A2" s="31" t="str">
        <x:v>Indicador</x:v>
      </x:c>
      <x:c r="B2" s="31" t="str">
        <x:v>Resultado</x:v>
      </x:c>
    </x:row>
    <x:row r="3">
      <x:c r="A3" s="32" t="str">
        <x:v>Total de requisitos funcionales</x:v>
      </x:c>
      <x:c r="B3" s="12" t="n">
        <x:f>COUNTA('Matriz RF por modelos'!A2:A33)</x:f>
        <x:v>32</x:v>
      </x:c>
    </x:row>
    <x:row r="4">
      <x:c r="A4" s="32" t="str">
        <x:v>RF cubiertos</x:v>
      </x:c>
      <x:c r="B4" s="12" t="n">
        <x:f>COUNTIF('Matriz RF por modelos'!I2:I33,"Cubierto")</x:f>
        <x:v>32</x:v>
      </x:c>
    </x:row>
    <x:row r="5">
      <x:c r="A5" s="32" t="str">
        <x:v>RF sin cobertura</x:v>
      </x:c>
      <x:c r="B5" s="12" t="n">
        <x:f>B3-B4</x:f>
        <x:v>0</x:v>
      </x:c>
    </x:row>
    <x:row r="6">
      <x:c r="A6" s="32" t="str">
        <x:v>Porcentaje de cobertura</x:v>
      </x:c>
      <x:c r="B6" s="33" t="n">
        <x:f>B4/B3</x:f>
        <x:v>1</x:v>
      </x:c>
    </x:row>
    <x:row r="7">
      <x:c r="A7" s="32" t="str">
        <x:v>Observación general</x:v>
      </x:c>
      <x:c r="B7" s="12" t="str">
        <x:v>Todos los requisitos funcionales RF-01 al RF-32 tienen relación con al menos un modelo del sistema.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64" hidden="0" customWidth="1"/>
  </x:cols>
  <x:sheetData>
    <x:row r="1" ht="30" customHeight="1">
      <x:c r="A1" s="4" t="str">
        <x:v>Elemento revisado</x:v>
      </x:c>
      <x:c r="B1" s="4" t="str">
        <x:v>Tipo</x:v>
      </x:c>
      <x:c r="C1" s="4" t="str">
        <x:v>Evaluación</x:v>
      </x:c>
      <x:c r="D1" s="4" t="str">
        <x:v>Justificación</x:v>
      </x:c>
    </x:row>
    <x:row r="2" ht="38" customHeight="1">
      <x:c r="A2" s="12" t="str">
        <x:v>RF-01 al RF-02</x:v>
      </x:c>
      <x:c r="B2" s="12" t="str">
        <x:v>Requisitos de acceso</x:v>
      </x:c>
      <x:c r="C2" s="12" t="str">
        <x:v>Con cobertura</x:v>
      </x:c>
      <x:c r="D2" s="12" t="str">
        <x:v>Representados en Usuario, Rol, UsuarioRol y proceso 1.0 Gestionar usuarios y accesos.</x:v>
      </x:c>
    </x:row>
    <x:row r="3" ht="38" customHeight="1">
      <x:c r="A3" s="12" t="str">
        <x:v>RF-03 al RF-14</x:v>
      </x:c>
      <x:c r="B3" s="12" t="str">
        <x:v>Requisitos clínicos</x:v>
      </x:c>
      <x:c r="C3" s="12" t="str">
        <x:v>Con cobertura</x:v>
      </x:c>
      <x:c r="D3" s="12" t="str">
        <x:v>Representados en Paciente, EvaluacionInicial, SignoVital, IndicadorClinico, PruebaTerapeutica y proceso 2.0.</x:v>
      </x:c>
    </x:row>
    <x:row r="4" ht="38" customHeight="1">
      <x:c r="A4" s="12" t="str">
        <x:v>RF-15 al RF-18</x:v>
      </x:c>
      <x:c r="B4" s="12" t="str">
        <x:v>Requisitos de planificación</x:v>
      </x:c>
      <x:c r="C4" s="12" t="str">
        <x:v>Con cobertura</x:v>
      </x:c>
      <x:c r="D4" s="12" t="str">
        <x:v>Representados en PlanTerapeutico, RutinaTerapeutica, DetalleRutina, Ejercicio y proceso 3.0.</x:v>
      </x:c>
    </x:row>
    <x:row r="5" ht="38" customHeight="1">
      <x:c r="A5" s="12" t="str">
        <x:v>RF-19 al RF-25</x:v>
      </x:c>
      <x:c r="B5" s="12" t="str">
        <x:v>Sesión remota e IA</x:v>
      </x:c>
      <x:c r="C5" s="12" t="str">
        <x:v>Con cobertura</x:v>
      </x:c>
      <x:c r="D5" s="12" t="str">
        <x:v>Representados en SesionRemota, MovimientoCapturado, AnalisisIA, ErrorPostural, Repeticion, DFD esencial, actividades, estados y secuencia.</x:v>
      </x:c>
    </x:row>
    <x:row r="6" ht="38" customHeight="1">
      <x:c r="A6" s="12" t="str">
        <x:v>RF-26 al RF-32</x:v>
      </x:c>
      <x:c r="B6" s="12" t="str">
        <x:v>Seguimiento y reportes</x:v>
      </x:c>
      <x:c r="C6" s="12" t="str">
        <x:v>Con cobertura</x:v>
      </x:c>
      <x:c r="D6" s="12" t="str">
        <x:v>Representados en EvidenciaCumplimiento, ProgresoTerapeutico, AlertaTerapeutica, RecomendacionSeguimiento, ReporteTratamiento, Notificacion y AccesoFamiliar.</x:v>
      </x:c>
    </x:row>
    <x:row r="7" ht="38" customHeight="1">
      <x:c r="A7" s="12" t="str">
        <x:v>Diagnóstico médico automático</x:v>
      </x:c>
      <x:c r="B7" s="12" t="str">
        <x:v>No modelado</x:v>
      </x:c>
      <x:c r="C7" s="12" t="str">
        <x:v>Excluido correctamente</x:v>
      </x:c>
      <x:c r="D7" s="12" t="str">
        <x:v>No forma parte del alcance; el sistema no reemplaza el criterio del fisioterapeuta.</x:v>
      </x:c>
    </x:row>
    <x:row r="8" ht="38" customHeight="1">
      <x:c r="A8" s="12" t="str">
        <x:v>Prescripción automática de tratamientos</x:v>
      </x:c>
      <x:c r="B8" s="12" t="str">
        <x:v>No modelado</x:v>
      </x:c>
      <x:c r="C8" s="12" t="str">
        <x:v>Excluido correctamente</x:v>
      </x:c>
      <x:c r="D8" s="12" t="str">
        <x:v>Se evita gold plating porque el sistema apoya el seguimiento, pero no prescribe tratamientos de manera autónoma.</x:v>
      </x:c>
    </x:row>
    <x:row r="9" ht="38" customHeight="1">
      <x:c r="A9" s="12" t="str">
        <x:v>Atención de emergencias médicas</x:v>
      </x:c>
      <x:c r="B9" s="12" t="str">
        <x:v>No modelado</x:v>
      </x:c>
      <x:c r="C9" s="12" t="str">
        <x:v>Excluido correctamente</x:v>
      </x:c>
      <x:c r="D9" s="12" t="str">
        <x:v>No forma parte del alcance del sistema de seguimiento terapéutico remoto.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  <x:row r="61" ht="38" customHeight="1"/>
    <x:row r="62" ht="38" customHeight="1"/>
    <x:row r="63" ht="38" customHeight="1"/>
    <x:row r="64" ht="38" customHeight="1"/>
    <x:row r="65" ht="38" customHeight="1"/>
    <x:row r="66" ht="38" customHeight="1"/>
    <x:row r="67" ht="38" customHeight="1"/>
    <x:row r="68" ht="38" customHeight="1"/>
    <x:row r="69" ht="38" customHeight="1"/>
    <x:row r="70" ht="38" customHeight="1"/>
    <x:row r="71" ht="38" customHeight="1"/>
    <x:row r="72" ht="38" customHeight="1"/>
    <x:row r="73" ht="38" customHeight="1"/>
    <x:row r="74" ht="38" customHeight="1"/>
    <x:row r="75" ht="38" customHeight="1"/>
    <x:row r="76" ht="38" customHeight="1"/>
    <x:row r="77" ht="38" customHeight="1"/>
    <x:row r="78" ht="38" customHeight="1"/>
    <x:row r="79" ht="38" customHeight="1"/>
    <x:row r="80" ht="38" customHeight="1"/>
    <x:row r="81" ht="38" customHeight="1"/>
    <x:row r="82" ht="38" customHeight="1"/>
    <x:row r="83" ht="38" customHeight="1"/>
    <x:row r="84" ht="38" customHeight="1"/>
    <x:row r="85" ht="38" customHeight="1"/>
    <x:row r="86" ht="38" customHeight="1"/>
    <x:row r="87" ht="38" customHeight="1"/>
    <x:row r="88" ht="38" customHeight="1"/>
    <x:row r="89" ht="38" customHeight="1"/>
    <x:row r="90" ht="38" customHeight="1"/>
    <x:row r="91" ht="38" customHeight="1"/>
    <x:row r="92" ht="38" customHeight="1"/>
    <x:row r="93" ht="38" customHeight="1"/>
    <x:row r="94" ht="38" customHeight="1"/>
    <x:row r="95" ht="38" customHeight="1"/>
    <x:row r="96" ht="38" customHeight="1"/>
    <x:row r="97" ht="38" customHeight="1"/>
    <x:row r="98" ht="38" customHeight="1"/>
    <x:row r="99" ht="38" customHeight="1"/>
    <x:row r="100" ht="38" customHeight="1"/>
  </x:sheetData>
  <x:pageMargins left="0.7" right="0.7" top="0.75" bottom="0.75" header="0.3" footer="0.3"/>
  <x:tableParts count="1">
    <x:tablePart xmlns:r="http://schemas.openxmlformats.org/officeDocument/2006/relationships" r:id="Re985b925e1c440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2" hidden="0" customWidth="1"/>
    <x:col min="3" max="3" width="14" hidden="0" customWidth="1"/>
    <x:col min="4" max="4" width="64" hidden="0" customWidth="1"/>
  </x:cols>
  <x:sheetData>
    <x:row r="1" ht="30" customHeight="1">
      <x:c r="A1" s="4" t="str">
        <x:v>Verificación</x:v>
      </x:c>
      <x:c r="B1" s="4" t="str">
        <x:v>Modelos comparados</x:v>
      </x:c>
      <x:c r="C1" s="4" t="str">
        <x:v>Resultado</x:v>
      </x:c>
      <x:c r="D1" s="4" t="str">
        <x:v>Observación</x:v>
      </x:c>
    </x:row>
    <x:row r="2" ht="38" customHeight="1">
      <x:c r="A2" s="12" t="str">
        <x:v>Coherencia entre entidades y clases</x:v>
      </x:c>
      <x:c r="B2" s="12" t="str">
        <x:v>Diagrama ER y Diagrama de Clases UML</x:v>
      </x:c>
      <x:c r="C2" s="12" t="str">
        <x:v>Cumple</x:v>
      </x:c>
      <x:c r="D2" s="12" t="str">
        <x:v>Las entidades principales del ER se transforman en clases UML con atributos, operaciones y asociaciones.</x:v>
      </x:c>
    </x:row>
    <x:row r="3" ht="38" customHeight="1">
      <x:c r="A3" s="12" t="str">
        <x:v>Relaciones muchos a muchos</x:v>
      </x:c>
      <x:c r="B3" s="12" t="str">
        <x:v>ER y Clases UML</x:v>
      </x:c>
      <x:c r="C3" s="12" t="str">
        <x:v>Cumple</x:v>
      </x:c>
      <x:c r="D3" s="12" t="str">
        <x:v>UsuarioRol, DetalleRutina y AccesoFamiliar se mantienen como clases asociativas.</x:v>
      </x:c>
    </x:row>
    <x:row r="4" ht="38" customHeight="1">
      <x:c r="A4" s="12" t="str">
        <x:v>Pacientes y evaluación clínica</x:v>
      </x:c>
      <x:c r="B4" s="12" t="str">
        <x:v>ER, Clases UML y DFD Nivel 1</x:v>
      </x:c>
      <x:c r="C4" s="12" t="str">
        <x:v>Cumple</x:v>
      </x:c>
      <x:c r="D4" s="12" t="str">
        <x:v>Paciente, EvaluacionInicial, SignoVital, IndicadorClinico y PruebaTerapeutica se relacionan con el proceso 2.0.</x:v>
      </x:c>
    </x:row>
    <x:row r="5" ht="38" customHeight="1">
      <x:c r="A5" s="12" t="str">
        <x:v>Planes y rutinas</x:v>
      </x:c>
      <x:c r="B5" s="12" t="str">
        <x:v>ER, Clases UML y DFD Nivel 1</x:v>
      </x:c>
      <x:c r="C5" s="12" t="str">
        <x:v>Cumple</x:v>
      </x:c>
      <x:c r="D5" s="12" t="str">
        <x:v>PlanTerapeutico, RutinaTerapeutica, DetalleRutina y Ejercicio se vinculan con el proceso 3.0.</x:v>
      </x:c>
    </x:row>
    <x:row r="6" ht="38" customHeight="1">
      <x:c r="A6" s="12" t="str">
        <x:v>Sesión remota y análisis IA</x:v>
      </x:c>
      <x:c r="B6" s="12" t="str">
        <x:v>Clases UML, DFD esencial y Actividades UML</x:v>
      </x:c>
      <x:c r="C6" s="12" t="str">
        <x:v>Cumple</x:v>
      </x:c>
      <x:c r="D6" s="12" t="str">
        <x:v>SesionRemota, MovimientoCapturado, AnalisisIA, ErrorPostural y Repeticion participan en el proceso principal.</x:v>
      </x:c>
    </x:row>
    <x:row r="7" ht="38" customHeight="1">
      <x:c r="A7" s="12" t="str">
        <x:v>Actividad y estados</x:v>
      </x:c>
      <x:c r="B7" s="12" t="str">
        <x:v>Diagrama de Actividades UML y Máquina de Estados UML</x:v>
      </x:c>
      <x:c r="C7" s="12" t="str">
        <x:v>Cumple</x:v>
      </x:c>
      <x:c r="D7" s="12" t="str">
        <x:v>Las decisiones de consentimiento, cámara, ejecución y análisis se reflejan en los estados de SesionRemota.</x:v>
      </x:c>
    </x:row>
    <x:row r="8" ht="38" customHeight="1">
      <x:c r="A8" s="12" t="str">
        <x:v>Secuencia y máquina de estados</x:v>
      </x:c>
      <x:c r="B8" s="12" t="str">
        <x:v>Diagrama de Secuencia UML y Máquina de Estados UML</x:v>
      </x:c>
      <x:c r="C8" s="12" t="str">
        <x:v>Cumple</x:v>
      </x:c>
      <x:c r="D8" s="12" t="str">
        <x:v>Los mensajes de inicio, validación, captura, análisis y registro coinciden con las transiciones de la sesión.</x:v>
      </x:c>
    </x:row>
    <x:row r="9" ht="38" customHeight="1">
      <x:c r="A9" s="12" t="str">
        <x:v>Evidencia y seguimiento</x:v>
      </x:c>
      <x:c r="B9" s="12" t="str">
        <x:v>Clases UML, DFD Nivel 1 y Secuencia UML</x:v>
      </x:c>
      <x:c r="C9" s="12" t="str">
        <x:v>Cumple</x:v>
      </x:c>
      <x:c r="D9" s="12" t="str">
        <x:v>EvidenciaCumplimiento, ProgresoTerapeutico, AlertaTerapeutica y ReporteTratamiento aparecen en el proceso 5.0.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  <x:row r="61" ht="38" customHeight="1"/>
    <x:row r="62" ht="38" customHeight="1"/>
    <x:row r="63" ht="38" customHeight="1"/>
    <x:row r="64" ht="38" customHeight="1"/>
    <x:row r="65" ht="38" customHeight="1"/>
    <x:row r="66" ht="38" customHeight="1"/>
    <x:row r="67" ht="38" customHeight="1"/>
    <x:row r="68" ht="38" customHeight="1"/>
    <x:row r="69" ht="38" customHeight="1"/>
    <x:row r="70" ht="38" customHeight="1"/>
    <x:row r="71" ht="38" customHeight="1"/>
    <x:row r="72" ht="38" customHeight="1"/>
    <x:row r="73" ht="38" customHeight="1"/>
    <x:row r="74" ht="38" customHeight="1"/>
    <x:row r="75" ht="38" customHeight="1"/>
    <x:row r="76" ht="38" customHeight="1"/>
    <x:row r="77" ht="38" customHeight="1"/>
    <x:row r="78" ht="38" customHeight="1"/>
    <x:row r="79" ht="38" customHeight="1"/>
    <x:row r="80" ht="38" customHeight="1"/>
    <x:row r="81" ht="38" customHeight="1"/>
    <x:row r="82" ht="38" customHeight="1"/>
    <x:row r="83" ht="38" customHeight="1"/>
    <x:row r="84" ht="38" customHeight="1"/>
    <x:row r="85" ht="38" customHeight="1"/>
    <x:row r="86" ht="38" customHeight="1"/>
    <x:row r="87" ht="38" customHeight="1"/>
    <x:row r="88" ht="38" customHeight="1"/>
    <x:row r="89" ht="38" customHeight="1"/>
    <x:row r="90" ht="38" customHeight="1"/>
    <x:row r="91" ht="38" customHeight="1"/>
    <x:row r="92" ht="38" customHeight="1"/>
    <x:row r="93" ht="38" customHeight="1"/>
    <x:row r="94" ht="38" customHeight="1"/>
    <x:row r="95" ht="38" customHeight="1"/>
    <x:row r="96" ht="38" customHeight="1"/>
    <x:row r="97" ht="38" customHeight="1"/>
    <x:row r="98" ht="38" customHeight="1"/>
    <x:row r="99" ht="38" customHeight="1"/>
    <x:row r="100" ht="38" customHeight="1"/>
  </x:sheetData>
  <x:pageMargins left="0.7" right="0.7" top="0.75" bottom="0.75" header="0.3" footer="0.3"/>
  <x:tableParts count="1">
    <x:tablePart xmlns:r="http://schemas.openxmlformats.org/officeDocument/2006/relationships" r:id="R7b0c834799d5446b"/>
  </x:tableParts>
</x:worksheet>
</file>